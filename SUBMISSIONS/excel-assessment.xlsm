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176428E6-CC11-C334-683E-B6102A28F97D}"/>
  <workbookPr codeName="ThisWorkbook1" hidePivotFieldList="1"/>
  <bookViews>
    <workbookView xWindow="-105" yWindow="-105" windowWidth="20730" windowHeight="11760" tabRatio="849" activeTab="4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24519"/>
</workbook>
</file>

<file path=xl/calcChain.xml><?xml version="1.0" encoding="utf-8"?>
<calcChain xmlns="http://schemas.openxmlformats.org/spreadsheetml/2006/main">
  <c r="C22" i="19"/>
  <c r="F7" i="18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B18"/>
  <c r="B19"/>
  <c r="B20"/>
  <c r="B21"/>
  <c r="B22"/>
  <c r="B23"/>
  <c r="B24"/>
  <c r="B25"/>
  <c r="B26"/>
  <c r="B27"/>
  <c r="B7"/>
  <c r="B8"/>
  <c r="B9"/>
  <c r="B10"/>
  <c r="B11"/>
  <c r="B12"/>
  <c r="B13"/>
  <c r="B14"/>
  <c r="B15"/>
  <c r="B16"/>
  <c r="B17"/>
  <c r="F6"/>
  <c r="F29" s="1"/>
  <c r="E6"/>
  <c r="E30" s="1"/>
  <c r="D6"/>
  <c r="D29" s="1"/>
  <c r="C6"/>
  <c r="C30" s="1"/>
  <c r="B6"/>
  <c r="B30" s="1"/>
  <c r="H43" i="1"/>
  <c r="C5" i="15"/>
  <c r="F28" i="18" l="1"/>
  <c r="D28"/>
  <c r="B29"/>
  <c r="E29"/>
  <c r="C29"/>
  <c r="F30"/>
  <c r="D30"/>
  <c r="B28"/>
  <c r="E28"/>
  <c r="C28"/>
</calcChain>
</file>

<file path=xl/sharedStrings.xml><?xml version="1.0" encoding="utf-8"?>
<sst xmlns="http://schemas.openxmlformats.org/spreadsheetml/2006/main" count="401" uniqueCount="179">
  <si>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</si>
  <si>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</si>
  <si>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</si>
  <si>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</si>
  <si>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</si>
  <si>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</si>
  <si>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</si>
  <si>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</si>
  <si>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</si>
  <si>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</si>
  <si>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</si>
  <si>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</si>
  <si>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</si>
  <si>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</si>
  <si>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</si>
  <si>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</si>
  <si>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</si>
  <si>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</si>
  <si>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</si>
  <si>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</si>
  <si>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</si>
  <si>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</si>
  <si>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</si>
  <si>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</si>
  <si>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</si>
  <si>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</si>
  <si>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</si>
  <si>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</si>
  <si>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</si>
  <si>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</si>
  <si>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</si>
  <si>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</si>
  <si>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</si>
  <si>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</si>
  <si>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</si>
  <si>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</si>
  <si>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</si>
  <si>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</si>
  <si>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</si>
  <si>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</si>
  <si>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</si>
  <si>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</si>
  <si>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</si>
  <si>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</si>
  <si>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</si>
  <si>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</si>
  <si>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</si>
  <si>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</si>
  <si>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</si>
  <si>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</si>
  <si>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</si>
  <si>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</si>
  <si>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</si>
  <si>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</si>
  <si>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</si>
  <si>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</si>
  <si>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</si>
  <si>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</si>
  <si>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</si>
  <si>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</si>
  <si>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</si>
  <si>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</si>
  <si>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</si>
  <si>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</si>
  <si>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</si>
  <si>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</si>
  <si>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</si>
  <si>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</si>
  <si>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</si>
  <si>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</si>
  <si>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</si>
  <si>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</si>
  <si>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</si>
  <si>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</si>
  <si>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</si>
  <si>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</si>
  <si>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</si>
  <si>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</si>
  <si>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</si>
  <si>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</si>
  <si>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</si>
  <si>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</si>
  <si>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</si>
  <si>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</si>
  <si>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</si>
  <si>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</si>
  <si>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</si>
  <si>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</si>
  <si>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</si>
  <si>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</si>
  <si>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</si>
  <si>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</si>
  <si>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</si>
  <si>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</si>
  <si>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</si>
  <si>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</si>
  <si>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</si>
  <si>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</si>
  <si>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</si>
  <si>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</si>
  <si>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</si>
  <si>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</si>
  <si>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</si>
  <si>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</si>
  <si>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</si>
  <si>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</si>
  <si>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</si>
  <si>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</si>
  <si>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</si>
  <si>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</si>
  <si>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</si>
  <si>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</si>
  <si>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</si>
  <si>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</si>
  <si>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</si>
  <si>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</si>
  <si>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</si>
  <si>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</si>
  <si>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</si>
  <si>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</si>
  <si>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</si>
  <si>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</si>
  <si>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</si>
  <si>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</si>
  <si>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</si>
  <si>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</si>
  <si>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</si>
  <si>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</si>
  <si>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</si>
  <si>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</si>
  <si>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</si>
  <si>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</si>
  <si>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</si>
  <si>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</si>
  <si>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</si>
  <si>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</si>
  <si>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</si>
  <si>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</si>
  <si>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</si>
  <si>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</si>
  <si>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</si>
  <si>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</si>
  <si>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</si>
  <si>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</si>
  <si>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</si>
  <si>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</si>
  <si>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</si>
  <si>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</si>
  <si>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</si>
  <si>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</si>
  <si>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</si>
  <si>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</si>
  <si>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</si>
  <si>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</si>
  <si>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</si>
  <si>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</si>
  <si>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</si>
  <si>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</si>
  <si>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</si>
  <si>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</si>
  <si>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</si>
  <si>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</si>
  <si>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</si>
  <si>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</si>
  <si>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</si>
  <si>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</si>
  <si>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</si>
  <si>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</si>
  <si>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</si>
  <si>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</si>
  <si>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</si>
  <si>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</si>
  <si>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</si>
  <si>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</si>
  <si>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</si>
  <si>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</si>
  <si>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</si>
  <si>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Explanation:data-test to colums-dilimited-next-dilimiters for our data-next-destination -finish</t>
  </si>
  <si>
    <t>inbuilt functionality data</t>
  </si>
</sst>
</file>

<file path=xl/styles.xml><?xml version="1.0" encoding="utf-8"?>
<styleSheet xmlns="http://schemas.openxmlformats.org/spreadsheetml/2006/main">
  <numFmts count="3">
    <numFmt numFmtId="164" formatCode="hh:mm:ss;@"/>
    <numFmt numFmtId="165" formatCode="yyyy\-mm\-dd;@"/>
    <numFmt numFmtId="166" formatCode="[$-14009]yyyy/mm/dd;@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FFFFFF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7" fillId="0" borderId="0" xfId="0" applyFont="1"/>
    <xf numFmtId="166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9" tint="0.39997558519241921"/>
  </sheetPr>
  <dimension ref="A1:C15"/>
  <sheetViews>
    <sheetView workbookViewId="0"/>
  </sheetViews>
  <sheetFormatPr defaultColWidth="11" defaultRowHeight="12.75"/>
  <cols>
    <col min="1" max="1" width="70.83203125" style="2" bestFit="1" customWidth="1"/>
    <col min="2" max="16384" width="11" style="2"/>
  </cols>
  <sheetData>
    <row r="1" spans="1:3" ht="18.75">
      <c r="A1" s="37" t="s">
        <v>108</v>
      </c>
    </row>
    <row r="2" spans="1:3">
      <c r="A2" s="2" t="s">
        <v>109</v>
      </c>
    </row>
    <row r="3" spans="1:3">
      <c r="A3" s="2" t="s">
        <v>110</v>
      </c>
    </row>
    <row r="4" spans="1:3" ht="15">
      <c r="A4" s="2" t="s">
        <v>111</v>
      </c>
      <c r="C4" s="1"/>
    </row>
    <row r="5" spans="1:3">
      <c r="A5" s="2" t="s">
        <v>152</v>
      </c>
    </row>
    <row r="8" spans="1:3">
      <c r="A8" s="2" t="s">
        <v>173</v>
      </c>
    </row>
    <row r="9" spans="1:3">
      <c r="A9" s="34" t="s">
        <v>171</v>
      </c>
      <c r="B9" s="25" t="s">
        <v>169</v>
      </c>
    </row>
    <row r="10" spans="1:3">
      <c r="A10" s="33" t="s">
        <v>172</v>
      </c>
      <c r="B10" s="35">
        <v>25</v>
      </c>
    </row>
    <row r="11" spans="1:3">
      <c r="A11" s="33" t="s">
        <v>55</v>
      </c>
      <c r="B11" s="35">
        <v>30</v>
      </c>
    </row>
    <row r="12" spans="1:3">
      <c r="A12" s="33" t="s">
        <v>56</v>
      </c>
      <c r="B12" s="35">
        <v>10</v>
      </c>
    </row>
    <row r="13" spans="1:3">
      <c r="A13" s="33" t="s">
        <v>85</v>
      </c>
      <c r="B13" s="35">
        <v>20</v>
      </c>
    </row>
    <row r="14" spans="1:3">
      <c r="A14" s="33" t="s">
        <v>98</v>
      </c>
      <c r="B14" s="35">
        <v>40</v>
      </c>
    </row>
    <row r="15" spans="1:3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X43"/>
  <sheetViews>
    <sheetView workbookViewId="0">
      <pane ySplit="1" topLeftCell="A2" activePane="bottomLeft" state="frozen"/>
      <selection pane="bottomLeft" activeCell="D28" sqref="D28"/>
    </sheetView>
  </sheetViews>
  <sheetFormatPr defaultColWidth="9" defaultRowHeight="15"/>
  <cols>
    <col min="1" max="1" width="25.5" style="1" bestFit="1" customWidth="1"/>
    <col min="2" max="2" width="7.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5" style="1" bestFit="1" customWidth="1"/>
    <col min="19" max="20" width="18.83203125" style="1" bestFit="1" customWidth="1"/>
    <col min="21" max="23" width="19" style="1" bestFit="1" customWidth="1"/>
    <col min="24" max="24" width="12.5" style="1" bestFit="1" customWidth="1"/>
    <col min="25" max="16384" width="9" style="1"/>
  </cols>
  <sheetData>
    <row r="1" spans="1:24" s="3" customFormat="1" ht="14.65" customHeight="1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3" spans="1:24">
      <c r="H43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E14"/>
  <sheetViews>
    <sheetView workbookViewId="0">
      <selection activeCell="C5" sqref="C5"/>
    </sheetView>
  </sheetViews>
  <sheetFormatPr defaultColWidth="11" defaultRowHeight="15"/>
  <cols>
    <col min="1" max="1" width="8.5" style="1" bestFit="1" customWidth="1"/>
    <col min="2" max="2" width="65.83203125" style="1" bestFit="1" customWidth="1"/>
    <col min="3" max="3" width="27.5" style="1" bestFit="1" customWidth="1"/>
    <col min="4" max="4" width="11" style="1"/>
    <col min="5" max="5" width="14.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176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44">
        <f>SUMIF(H2:H40, "&gt;20")</f>
        <v>0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G30"/>
  <sheetViews>
    <sheetView topLeftCell="A13" workbookViewId="0">
      <selection activeCell="H30" sqref="H30"/>
    </sheetView>
  </sheetViews>
  <sheetFormatPr defaultColWidth="11" defaultRowHeight="12.75"/>
  <cols>
    <col min="1" max="1" width="18.5" style="2" bestFit="1" customWidth="1"/>
    <col min="2" max="6" width="15.5" style="2" customWidth="1"/>
    <col min="7" max="7" width="11" style="2"/>
    <col min="8" max="8" width="14.5" style="2" bestFit="1" customWidth="1"/>
    <col min="9" max="16384" width="11" style="2"/>
  </cols>
  <sheetData>
    <row r="1" spans="1:7" s="39" customFormat="1" ht="21">
      <c r="A1" s="40" t="s">
        <v>55</v>
      </c>
      <c r="B1" s="39" t="s">
        <v>164</v>
      </c>
    </row>
    <row r="2" spans="1:7" s="39" customFormat="1" ht="21">
      <c r="B2" s="39" t="s">
        <v>161</v>
      </c>
    </row>
    <row r="3" spans="1:7" ht="15">
      <c r="A3" s="1"/>
      <c r="B3" s="1"/>
      <c r="C3" s="1"/>
      <c r="D3" s="1"/>
      <c r="E3" s="1"/>
      <c r="F3" s="1"/>
      <c r="G3" s="1"/>
    </row>
    <row r="4" spans="1:7" ht="23.25">
      <c r="A4" s="17" t="s">
        <v>162</v>
      </c>
      <c r="B4" s="1"/>
      <c r="C4" s="1"/>
      <c r="D4" s="1"/>
      <c r="E4" s="1"/>
      <c r="F4" s="1"/>
      <c r="G4" s="1"/>
    </row>
    <row r="5" spans="1:7" ht="1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>
      <c r="A6" s="7" t="s">
        <v>40</v>
      </c>
      <c r="B6" s="11">
        <f>VLOOKUP(A6, Dataset!$A$1:$X$40, 7, FALSE)</f>
        <v>2.7</v>
      </c>
      <c r="C6" s="11">
        <f>VLOOKUP(A6, Dataset!$A$1:$X$40, 14, FALSE)</f>
        <v>7.6</v>
      </c>
      <c r="D6" s="11">
        <f>VLOOKUP(A6, Dataset!$A$1:$X$40, 18, FALSE)</f>
        <v>4.2</v>
      </c>
      <c r="E6" s="11">
        <f>VLOOKUP(A6, Dataset!$A$1:$X$40, 20, FALSE)</f>
        <v>8.9</v>
      </c>
      <c r="F6" s="11">
        <f>VLOOKUP(A6, Dataset!$A$1:$X$40, 22, FALSE)</f>
        <v>4.2</v>
      </c>
    </row>
    <row r="7" spans="1:7" ht="15">
      <c r="A7" s="7" t="s">
        <v>4</v>
      </c>
      <c r="B7" s="11">
        <f>VLOOKUP(A7, Dataset!$A$1:$X$40, 7, FALSE)</f>
        <v>2.7</v>
      </c>
      <c r="C7" s="11">
        <f>VLOOKUP(A7, Dataset!$A$1:$X$40, 14, FALSE)</f>
        <v>7.6</v>
      </c>
      <c r="D7" s="11">
        <f>VLOOKUP(A7, Dataset!$A$1:$X$40, 18, FALSE)</f>
        <v>4.2</v>
      </c>
      <c r="E7" s="11">
        <f>VLOOKUP(A7, Dataset!$A$1:$X$40, 20, FALSE)</f>
        <v>8.9</v>
      </c>
      <c r="F7" s="11">
        <f>VLOOKUP(A7, Dataset!$A$1:$X$40, 22, FALSE)</f>
        <v>4.2</v>
      </c>
    </row>
    <row r="8" spans="1:7" ht="15">
      <c r="A8" s="7" t="s">
        <v>7</v>
      </c>
      <c r="B8" s="11">
        <f>VLOOKUP(A8, Dataset!$A$1:$X$40, 7, FALSE)</f>
        <v>3.6</v>
      </c>
      <c r="C8" s="11">
        <f>VLOOKUP(A8, Dataset!$A$1:$X$40, 14, FALSE)</f>
        <v>11.1</v>
      </c>
      <c r="D8" s="11">
        <f>VLOOKUP(A8, Dataset!$A$1:$X$40, 18, FALSE)</f>
        <v>5.8</v>
      </c>
      <c r="E8" s="11">
        <f>VLOOKUP(A8, Dataset!$A$1:$X$40, 20, FALSE)</f>
        <v>12.2</v>
      </c>
      <c r="F8" s="11">
        <f>VLOOKUP(A8, Dataset!$A$1:$X$40, 22, FALSE)</f>
        <v>5.8</v>
      </c>
    </row>
    <row r="9" spans="1:7" ht="15">
      <c r="A9" s="7" t="s">
        <v>8</v>
      </c>
      <c r="B9" s="11">
        <f>VLOOKUP(A9, Dataset!$A$1:$X$40, 7, FALSE)</f>
        <v>4.9000000000000004</v>
      </c>
      <c r="C9" s="11">
        <f>VLOOKUP(A9, Dataset!$A$1:$X$40, 14, FALSE)</f>
        <v>13.3</v>
      </c>
      <c r="D9" s="11">
        <f>VLOOKUP(A9, Dataset!$A$1:$X$40, 18, FALSE)</f>
        <v>8.1</v>
      </c>
      <c r="E9" s="11">
        <f>VLOOKUP(A9, Dataset!$A$1:$X$40, 20, FALSE)</f>
        <v>17</v>
      </c>
      <c r="F9" s="11">
        <f>VLOOKUP(A9, Dataset!$A$1:$X$40, 22, FALSE)</f>
        <v>8.1</v>
      </c>
    </row>
    <row r="10" spans="1:7" ht="15">
      <c r="A10" s="7" t="s">
        <v>11</v>
      </c>
      <c r="B10" s="11">
        <f>VLOOKUP(A10, Dataset!$A$1:$X$40, 7, FALSE)</f>
        <v>9.4</v>
      </c>
      <c r="C10" s="11">
        <f>VLOOKUP(A10, Dataset!$A$1:$X$40, 14, FALSE)</f>
        <v>28.3</v>
      </c>
      <c r="D10" s="11">
        <f>VLOOKUP(A10, Dataset!$A$1:$X$40, 18, FALSE)</f>
        <v>16.100000000000001</v>
      </c>
      <c r="E10" s="11">
        <f>VLOOKUP(A10, Dataset!$A$1:$X$40, 20, FALSE)</f>
        <v>32.799999999999997</v>
      </c>
      <c r="F10" s="11">
        <f>VLOOKUP(A10, Dataset!$A$1:$X$40, 22, FALSE)</f>
        <v>16.100000000000001</v>
      </c>
    </row>
    <row r="11" spans="1:7" ht="15">
      <c r="A11" s="7" t="s">
        <v>12</v>
      </c>
      <c r="B11" s="11">
        <f>VLOOKUP(A11, Dataset!$A$1:$X$40, 7, FALSE)</f>
        <v>11.6</v>
      </c>
      <c r="C11" s="11">
        <f>VLOOKUP(A11, Dataset!$A$1:$X$40, 14, FALSE)</f>
        <v>35.200000000000003</v>
      </c>
      <c r="D11" s="11">
        <f>VLOOKUP(A11, Dataset!$A$1:$X$40, 18, FALSE)</f>
        <v>21.3</v>
      </c>
      <c r="E11" s="11">
        <f>VLOOKUP(A11, Dataset!$A$1:$X$40, 20, FALSE)</f>
        <v>43</v>
      </c>
      <c r="F11" s="11">
        <f>VLOOKUP(A11, Dataset!$A$1:$X$40, 22, FALSE)</f>
        <v>21.3</v>
      </c>
    </row>
    <row r="12" spans="1:7" ht="15">
      <c r="A12" s="7" t="s">
        <v>14</v>
      </c>
      <c r="B12" s="11">
        <f>VLOOKUP(A12, Dataset!$A$1:$X$40, 7, FALSE)</f>
        <v>18.399999999999999</v>
      </c>
      <c r="C12" s="11">
        <f>VLOOKUP(A12, Dataset!$A$1:$X$40, 14, FALSE)</f>
        <v>55.6</v>
      </c>
      <c r="D12" s="11">
        <f>VLOOKUP(A12, Dataset!$A$1:$X$40, 18, FALSE)</f>
        <v>33.799999999999997</v>
      </c>
      <c r="E12" s="11">
        <f>VLOOKUP(A12, Dataset!$A$1:$X$40, 20, FALSE)</f>
        <v>67.900000000000006</v>
      </c>
      <c r="F12" s="11">
        <f>VLOOKUP(A12, Dataset!$A$1:$X$40, 22, FALSE)</f>
        <v>33.799999999999997</v>
      </c>
    </row>
    <row r="13" spans="1:7" ht="15">
      <c r="A13" s="7" t="s">
        <v>15</v>
      </c>
      <c r="B13" s="11">
        <f>VLOOKUP(A13, Dataset!$A$1:$X$40, 7, FALSE)</f>
        <v>0</v>
      </c>
      <c r="C13" s="11">
        <f>VLOOKUP(A13, Dataset!$A$1:$X$40, 14, FALSE)</f>
        <v>0</v>
      </c>
      <c r="D13" s="11">
        <f>VLOOKUP(A13, Dataset!$A$1:$X$40, 18, FALSE)</f>
        <v>0</v>
      </c>
      <c r="E13" s="11">
        <f>VLOOKUP(A13, Dataset!$A$1:$X$40, 20, FALSE)</f>
        <v>0</v>
      </c>
      <c r="F13" s="11">
        <f>VLOOKUP(A13, Dataset!$A$1:$X$40, 22, FALSE)</f>
        <v>0</v>
      </c>
    </row>
    <row r="14" spans="1:7" ht="15">
      <c r="A14" s="7" t="s">
        <v>16</v>
      </c>
      <c r="B14" s="11">
        <f>VLOOKUP(A14, Dataset!$A$1:$X$40, 7, FALSE)</f>
        <v>21.9</v>
      </c>
      <c r="C14" s="11">
        <f>VLOOKUP(A14, Dataset!$A$1:$X$40, 14, FALSE)</f>
        <v>61.5</v>
      </c>
      <c r="D14" s="11">
        <f>VLOOKUP(A14, Dataset!$A$1:$X$40, 18, FALSE)</f>
        <v>40.1</v>
      </c>
      <c r="E14" s="11">
        <f>VLOOKUP(A14, Dataset!$A$1:$X$40, 20, FALSE)</f>
        <v>76.599999999999994</v>
      </c>
      <c r="F14" s="11">
        <f>VLOOKUP(A14, Dataset!$A$1:$X$40, 22, FALSE)</f>
        <v>40.1</v>
      </c>
    </row>
    <row r="15" spans="1:7" ht="15">
      <c r="A15" s="7" t="s">
        <v>18</v>
      </c>
      <c r="B15" s="11">
        <f>VLOOKUP(A15, Dataset!$A$1:$X$40, 7, FALSE)</f>
        <v>26.8</v>
      </c>
      <c r="C15" s="11">
        <f>VLOOKUP(A15, Dataset!$A$1:$X$40, 14, FALSE)</f>
        <v>79.599999999999994</v>
      </c>
      <c r="D15" s="11">
        <f>VLOOKUP(A15, Dataset!$A$1:$X$40, 18, FALSE)</f>
        <v>47.9</v>
      </c>
      <c r="E15" s="11">
        <f>VLOOKUP(A15, Dataset!$A$1:$X$40, 20, FALSE)</f>
        <v>96.8</v>
      </c>
      <c r="F15" s="11">
        <f>VLOOKUP(A15, Dataset!$A$1:$X$40, 22, FALSE)</f>
        <v>47.9</v>
      </c>
    </row>
    <row r="16" spans="1:7" ht="15">
      <c r="A16" s="7" t="s">
        <v>20</v>
      </c>
      <c r="B16" s="11">
        <f>VLOOKUP(A16, Dataset!$A$1:$X$40, 7, FALSE)</f>
        <v>28.5</v>
      </c>
      <c r="C16" s="11">
        <f>VLOOKUP(A16, Dataset!$A$1:$X$40, 14, FALSE)</f>
        <v>85.4</v>
      </c>
      <c r="D16" s="11">
        <f>VLOOKUP(A16, Dataset!$A$1:$X$40, 18, FALSE)</f>
        <v>52.3</v>
      </c>
      <c r="E16" s="11">
        <f>VLOOKUP(A16, Dataset!$A$1:$X$40, 20, FALSE)</f>
        <v>106.1</v>
      </c>
      <c r="F16" s="11">
        <f>VLOOKUP(A16, Dataset!$A$1:$X$40, 22, FALSE)</f>
        <v>52.3</v>
      </c>
    </row>
    <row r="17" spans="1:6" ht="15">
      <c r="A17" s="7" t="s">
        <v>22</v>
      </c>
      <c r="B17" s="11">
        <f>VLOOKUP(A17, Dataset!$A$1:$X$40, 7, FALSE)</f>
        <v>30.7</v>
      </c>
      <c r="C17" s="11">
        <f>VLOOKUP(A17, Dataset!$A$1:$X$40, 14, FALSE)</f>
        <v>92.1</v>
      </c>
      <c r="D17" s="11">
        <f>VLOOKUP(A17, Dataset!$A$1:$X$40, 18, FALSE)</f>
        <v>57</v>
      </c>
      <c r="E17" s="11">
        <f>VLOOKUP(A17, Dataset!$A$1:$X$40, 20, FALSE)</f>
        <v>115.1</v>
      </c>
      <c r="F17" s="11">
        <f>VLOOKUP(A17, Dataset!$A$1:$X$40, 22, FALSE)</f>
        <v>57</v>
      </c>
    </row>
    <row r="18" spans="1:6" ht="15">
      <c r="A18" s="7" t="s">
        <v>23</v>
      </c>
      <c r="B18" s="11">
        <f>VLOOKUP(A18, Dataset!$A$1:$X$40, 7, FALSE)</f>
        <v>33.799999999999997</v>
      </c>
      <c r="C18" s="11">
        <f>VLOOKUP(A18, Dataset!$A$1:$X$40, 14, FALSE)</f>
        <v>101.3</v>
      </c>
      <c r="D18" s="11">
        <f>VLOOKUP(A18, Dataset!$A$1:$X$40, 18, FALSE)</f>
        <v>61.4</v>
      </c>
      <c r="E18" s="11">
        <f>VLOOKUP(A18, Dataset!$A$1:$X$40, 20, FALSE)</f>
        <v>124.4</v>
      </c>
      <c r="F18" s="11">
        <f>VLOOKUP(A18, Dataset!$A$1:$X$40, 22, FALSE)</f>
        <v>61.4</v>
      </c>
    </row>
    <row r="19" spans="1:6" ht="15">
      <c r="A19" s="7" t="s">
        <v>24</v>
      </c>
      <c r="B19" s="11">
        <f>VLOOKUP(A19, Dataset!$A$1:$X$40, 7, FALSE)</f>
        <v>34.700000000000003</v>
      </c>
      <c r="C19" s="11">
        <f>VLOOKUP(A19, Dataset!$A$1:$X$40, 14, FALSE)</f>
        <v>106.1</v>
      </c>
      <c r="D19" s="11">
        <f>VLOOKUP(A19, Dataset!$A$1:$X$40, 18, FALSE)</f>
        <v>63.6</v>
      </c>
      <c r="E19" s="11">
        <f>VLOOKUP(A19, Dataset!$A$1:$X$40, 20, FALSE)</f>
        <v>128.6</v>
      </c>
      <c r="F19" s="11">
        <f>VLOOKUP(A19, Dataset!$A$1:$X$40, 22, FALSE)</f>
        <v>63.6</v>
      </c>
    </row>
    <row r="20" spans="1:6" ht="15">
      <c r="A20" s="7" t="s">
        <v>28</v>
      </c>
      <c r="B20" s="11">
        <f>VLOOKUP(A20, Dataset!$A$1:$X$40, 7, FALSE)</f>
        <v>0</v>
      </c>
      <c r="C20" s="11">
        <f>VLOOKUP(A20, Dataset!$A$1:$X$40, 14, FALSE)</f>
        <v>0</v>
      </c>
      <c r="D20" s="11">
        <f>VLOOKUP(A20, Dataset!$A$1:$X$40, 18, FALSE)</f>
        <v>0</v>
      </c>
      <c r="E20" s="11">
        <f>VLOOKUP(A20, Dataset!$A$1:$X$40, 20, FALSE)</f>
        <v>0</v>
      </c>
      <c r="F20" s="11">
        <f>VLOOKUP(A20, Dataset!$A$1:$X$40, 22, FALSE)</f>
        <v>0</v>
      </c>
    </row>
    <row r="21" spans="1:6" ht="15">
      <c r="A21" s="7" t="s">
        <v>57</v>
      </c>
      <c r="B21" s="11">
        <f>VLOOKUP(A21, Dataset!$A$1:$X$40, 7, FALSE)</f>
        <v>41.3</v>
      </c>
      <c r="C21" s="11">
        <f>VLOOKUP(A21, Dataset!$A$1:$X$40, 14, FALSE)</f>
        <v>124.4</v>
      </c>
      <c r="D21" s="11">
        <f>VLOOKUP(A21, Dataset!$A$1:$X$40, 18, FALSE)</f>
        <v>75</v>
      </c>
      <c r="E21" s="11">
        <f>VLOOKUP(A21, Dataset!$A$1:$X$40, 20, FALSE)</f>
        <v>151.5</v>
      </c>
      <c r="F21" s="11">
        <f>VLOOKUP(A21, Dataset!$A$1:$X$40, 22, FALSE)</f>
        <v>75</v>
      </c>
    </row>
    <row r="22" spans="1:6" ht="15">
      <c r="A22" s="7" t="s">
        <v>58</v>
      </c>
      <c r="B22" s="11">
        <f>VLOOKUP(A22, Dataset!$A$1:$X$40, 7, FALSE)</f>
        <v>-1</v>
      </c>
      <c r="C22" s="11">
        <f>VLOOKUP(A22, Dataset!$A$1:$X$40, 14, FALSE)</f>
        <v>-1</v>
      </c>
      <c r="D22" s="11">
        <f>VLOOKUP(A22, Dataset!$A$1:$X$40, 18, FALSE)</f>
        <v>-1</v>
      </c>
      <c r="E22" s="11">
        <f>VLOOKUP(A22, Dataset!$A$1:$X$40, 20, FALSE)</f>
        <v>-1</v>
      </c>
      <c r="F22" s="11">
        <f>VLOOKUP(A22, Dataset!$A$1:$X$40, 22, FALSE)</f>
        <v>-1</v>
      </c>
    </row>
    <row r="23" spans="1:6" ht="15">
      <c r="A23" s="7" t="s">
        <v>31</v>
      </c>
      <c r="B23" s="11">
        <f>VLOOKUP(A23, Dataset!$A$1:$X$40, 7, FALSE)</f>
        <v>45</v>
      </c>
      <c r="C23" s="11">
        <f>VLOOKUP(A23, Dataset!$A$1:$X$40, 14, FALSE)</f>
        <v>133.4</v>
      </c>
      <c r="D23" s="11">
        <f>VLOOKUP(A23, Dataset!$A$1:$X$40, 18, FALSE)</f>
        <v>79.400000000000006</v>
      </c>
      <c r="E23" s="11">
        <f>VLOOKUP(A23, Dataset!$A$1:$X$40, 20, FALSE)</f>
        <v>160.9</v>
      </c>
      <c r="F23" s="11">
        <f>VLOOKUP(A23, Dataset!$A$1:$X$40, 22, FALSE)</f>
        <v>79.400000000000006</v>
      </c>
    </row>
    <row r="24" spans="1:6" ht="15">
      <c r="A24" s="7" t="s">
        <v>32</v>
      </c>
      <c r="B24" s="11">
        <f>VLOOKUP(A24, Dataset!$A$1:$X$40, 7, FALSE)</f>
        <v>-1</v>
      </c>
      <c r="C24" s="11">
        <f>VLOOKUP(A24, Dataset!$A$1:$X$40, 14, FALSE)</f>
        <v>-1</v>
      </c>
      <c r="D24" s="11">
        <f>VLOOKUP(A24, Dataset!$A$1:$X$40, 18, FALSE)</f>
        <v>-1</v>
      </c>
      <c r="E24" s="11">
        <f>VLOOKUP(A24, Dataset!$A$1:$X$40, 20, FALSE)</f>
        <v>-1</v>
      </c>
      <c r="F24" s="11">
        <f>VLOOKUP(A24, Dataset!$A$1:$X$40, 22, FALSE)</f>
        <v>-1</v>
      </c>
    </row>
    <row r="25" spans="1:6" ht="15">
      <c r="A25" s="7" t="s">
        <v>34</v>
      </c>
      <c r="B25" s="11">
        <f>VLOOKUP(A25, Dataset!$A$1:$X$40, 7, FALSE)</f>
        <v>43.3</v>
      </c>
      <c r="C25" s="11">
        <f>VLOOKUP(A25, Dataset!$A$1:$X$40, 14, FALSE)</f>
        <v>128.6</v>
      </c>
      <c r="D25" s="11">
        <f>VLOOKUP(A25, Dataset!$A$1:$X$40, 18, FALSE)</f>
        <v>79.400000000000006</v>
      </c>
      <c r="E25" s="11">
        <f>VLOOKUP(A25, Dataset!$A$1:$X$40, 20, FALSE)</f>
        <v>160.9</v>
      </c>
      <c r="F25" s="11">
        <f>VLOOKUP(A25, Dataset!$A$1:$X$40, 22, FALSE)</f>
        <v>79.400000000000006</v>
      </c>
    </row>
    <row r="26" spans="1:6" ht="15">
      <c r="A26" s="7" t="s">
        <v>37</v>
      </c>
      <c r="B26" s="11">
        <f>VLOOKUP(A26, Dataset!$A$1:$X$40, 7, FALSE)</f>
        <v>49.1</v>
      </c>
      <c r="C26" s="11">
        <f>VLOOKUP(A26, Dataset!$A$1:$X$40, 14, FALSE)</f>
        <v>146.80000000000001</v>
      </c>
      <c r="D26" s="11">
        <f>VLOOKUP(A26, Dataset!$A$1:$X$40, 18, FALSE)</f>
        <v>90.9</v>
      </c>
      <c r="E26" s="11">
        <f>VLOOKUP(A26, Dataset!$A$1:$X$40, 20, FALSE)</f>
        <v>183.5</v>
      </c>
      <c r="F26" s="11">
        <f>VLOOKUP(A26, Dataset!$A$1:$X$40, 22, FALSE)</f>
        <v>90.9</v>
      </c>
    </row>
    <row r="27" spans="1:6" ht="15">
      <c r="A27" s="7" t="s">
        <v>39</v>
      </c>
      <c r="B27" s="11">
        <f>VLOOKUP(A27, Dataset!$A$1:$X$40, 7, FALSE)</f>
        <v>51.8</v>
      </c>
      <c r="C27" s="11">
        <f>VLOOKUP(A27, Dataset!$A$1:$X$40, 14, FALSE)</f>
        <v>156.4</v>
      </c>
      <c r="D27" s="11">
        <f>VLOOKUP(A27, Dataset!$A$1:$X$40, 18, FALSE)</f>
        <v>93.1</v>
      </c>
      <c r="E27" s="11">
        <f>VLOOKUP(A27, Dataset!$A$1:$X$40, 20, FALSE)</f>
        <v>188.1</v>
      </c>
      <c r="F27" s="11">
        <f>VLOOKUP(A27, Dataset!$A$1:$X$40, 22, FALSE)</f>
        <v>93.1</v>
      </c>
    </row>
    <row r="28" spans="1:6" ht="1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J54"/>
  <sheetViews>
    <sheetView tabSelected="1" topLeftCell="A4" workbookViewId="0">
      <selection activeCell="B6" sqref="B6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39" customFormat="1" ht="21">
      <c r="A1" s="40" t="s">
        <v>56</v>
      </c>
      <c r="B1" s="39" t="s">
        <v>174</v>
      </c>
    </row>
    <row r="2" spans="1:10" customFormat="1" ht="12.75"/>
    <row r="3" spans="1:10" s="2" customFormat="1">
      <c r="B3" s="1"/>
    </row>
    <row r="4" spans="1:10" s="2" customFormat="1">
      <c r="B4" s="1" t="s">
        <v>151</v>
      </c>
    </row>
    <row r="5" spans="1:10" ht="18.75">
      <c r="A5" s="41" t="s">
        <v>53</v>
      </c>
      <c r="B5" s="38" t="s">
        <v>178</v>
      </c>
    </row>
    <row r="6" spans="1:10" ht="18.75">
      <c r="A6" s="41" t="s">
        <v>177</v>
      </c>
      <c r="B6" s="38"/>
    </row>
    <row r="7" spans="1:10" ht="18.75">
      <c r="A7" s="41"/>
      <c r="B7" s="38"/>
    </row>
    <row r="9" spans="1:10" ht="23.25">
      <c r="A9" s="17" t="s">
        <v>165</v>
      </c>
      <c r="I9" s="2"/>
      <c r="J9" s="2"/>
    </row>
    <row r="10" spans="1:10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>
      <c r="A14" s="17" t="s">
        <v>162</v>
      </c>
    </row>
    <row r="15" spans="1:10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C22"/>
  <sheetViews>
    <sheetView topLeftCell="B1" workbookViewId="0">
      <selection activeCell="C23" sqref="C23"/>
    </sheetView>
  </sheetViews>
  <sheetFormatPr defaultColWidth="11" defaultRowHeight="12.75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5" style="2" bestFit="1" customWidth="1"/>
    <col min="7" max="8" width="14.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5" style="2" bestFit="1" customWidth="1"/>
    <col min="14" max="14" width="11" style="2" bestFit="1" customWidth="1"/>
    <col min="15" max="15" width="8" style="2" bestFit="1" customWidth="1"/>
    <col min="16" max="17" width="12.5" style="2" bestFit="1" customWidth="1"/>
    <col min="18" max="18" width="24.1640625" style="2" bestFit="1" customWidth="1"/>
    <col min="19" max="19" width="12.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5" style="2" bestFit="1" customWidth="1"/>
    <col min="25" max="25" width="15" style="2" bestFit="1" customWidth="1"/>
    <col min="26" max="16384" width="11" style="2"/>
  </cols>
  <sheetData>
    <row r="1" spans="1:3" ht="21">
      <c r="A1" s="40" t="s">
        <v>85</v>
      </c>
      <c r="B1" s="39" t="s">
        <v>167</v>
      </c>
    </row>
    <row r="2" spans="1:3" ht="18.75">
      <c r="B2" s="38" t="s">
        <v>166</v>
      </c>
    </row>
    <row r="5" spans="1:3" ht="15">
      <c r="B5" s="1" t="s">
        <v>151</v>
      </c>
    </row>
    <row r="6" spans="1:3" ht="15">
      <c r="A6" s="3" t="s">
        <v>53</v>
      </c>
      <c r="B6" s="1"/>
    </row>
    <row r="7" spans="1:3" ht="15">
      <c r="A7" s="3" t="s">
        <v>153</v>
      </c>
      <c r="B7" s="1"/>
    </row>
    <row r="10" spans="1:3" ht="23.25">
      <c r="A10" s="17" t="s">
        <v>162</v>
      </c>
    </row>
    <row r="11" spans="1:3" ht="15">
      <c r="A11" s="31" t="s">
        <v>86</v>
      </c>
      <c r="B11" s="16" t="s">
        <v>87</v>
      </c>
      <c r="C11" s="16" t="s">
        <v>88</v>
      </c>
    </row>
    <row r="12" spans="1:3" ht="15">
      <c r="A12" s="31">
        <v>44927</v>
      </c>
      <c r="B12" s="16" t="s">
        <v>59</v>
      </c>
      <c r="C12" s="16">
        <v>200</v>
      </c>
    </row>
    <row r="13" spans="1:3" ht="15">
      <c r="A13" s="31">
        <v>44928</v>
      </c>
      <c r="B13" s="16" t="s">
        <v>60</v>
      </c>
      <c r="C13" s="16" t="e">
        <v>#N/A</v>
      </c>
    </row>
    <row r="14" spans="1:3" ht="15">
      <c r="A14" s="31">
        <v>44929</v>
      </c>
      <c r="B14" s="16" t="s">
        <v>61</v>
      </c>
      <c r="C14" s="16">
        <v>50</v>
      </c>
    </row>
    <row r="15" spans="1:3" ht="15">
      <c r="A15" s="31">
        <v>44930</v>
      </c>
      <c r="B15" s="16" t="s">
        <v>62</v>
      </c>
      <c r="C15" s="16" t="e">
        <v>#N/A</v>
      </c>
    </row>
    <row r="16" spans="1:3" ht="15">
      <c r="A16" s="31">
        <v>44931</v>
      </c>
      <c r="B16" s="16" t="s">
        <v>63</v>
      </c>
      <c r="C16" s="16">
        <v>10</v>
      </c>
    </row>
    <row r="17" spans="1:3" ht="15">
      <c r="A17" s="31">
        <v>44932</v>
      </c>
      <c r="B17" s="16" t="s">
        <v>154</v>
      </c>
      <c r="C17" s="16">
        <v>150</v>
      </c>
    </row>
    <row r="18" spans="1:3" ht="15">
      <c r="A18" s="31">
        <v>44933</v>
      </c>
      <c r="B18" s="16" t="s">
        <v>155</v>
      </c>
      <c r="C18" s="16">
        <v>80</v>
      </c>
    </row>
    <row r="19" spans="1:3" ht="15">
      <c r="A19" s="31">
        <v>44934</v>
      </c>
      <c r="B19" s="16" t="s">
        <v>156</v>
      </c>
      <c r="C19" s="16" t="e">
        <v>#N/A</v>
      </c>
    </row>
    <row r="20" spans="1:3" ht="15">
      <c r="A20" s="31">
        <v>44935</v>
      </c>
      <c r="B20" s="16" t="s">
        <v>157</v>
      </c>
      <c r="C20" s="16">
        <v>30</v>
      </c>
    </row>
    <row r="21" spans="1:3" ht="15">
      <c r="A21" s="31">
        <v>44936</v>
      </c>
      <c r="B21" s="16" t="s">
        <v>158</v>
      </c>
      <c r="C21" s="16" t="e">
        <v>#N/A</v>
      </c>
    </row>
    <row r="22" spans="1:3" ht="15">
      <c r="B22" s="16" t="s">
        <v>159</v>
      </c>
      <c r="C22" s="24" t="e">
        <f>SUMIF(C12:C21,"&lt;&gt;#N/A")+SUM(IF(ISNA(C13:C21),20,C13:C21))</f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N35"/>
  <sheetViews>
    <sheetView workbookViewId="0"/>
  </sheetViews>
  <sheetFormatPr defaultColWidth="11" defaultRowHeight="12.75"/>
  <cols>
    <col min="1" max="1" width="28.1640625" style="2" bestFit="1" customWidth="1"/>
    <col min="2" max="16384" width="11" style="2"/>
  </cols>
  <sheetData>
    <row r="1" spans="1:14" ht="21">
      <c r="A1" s="40" t="s">
        <v>98</v>
      </c>
      <c r="B1" s="39" t="s">
        <v>175</v>
      </c>
    </row>
    <row r="3" spans="1:14" ht="15">
      <c r="B3" s="1" t="s">
        <v>151</v>
      </c>
    </row>
    <row r="4" spans="1:14" ht="18.75">
      <c r="A4" s="41" t="s">
        <v>53</v>
      </c>
      <c r="B4" s="1"/>
    </row>
    <row r="5" spans="1:14" ht="18.75">
      <c r="A5" s="41" t="s">
        <v>153</v>
      </c>
      <c r="B5" s="1"/>
    </row>
    <row r="6" spans="1:14" ht="15">
      <c r="A6" s="3"/>
      <c r="B6" s="1"/>
    </row>
    <row r="8" spans="1:14" ht="23.25">
      <c r="A8" s="17" t="s">
        <v>162</v>
      </c>
      <c r="M8" s="17" t="s">
        <v>163</v>
      </c>
    </row>
    <row r="9" spans="1:14" ht="1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>
      <c r="A21" s="17" t="s">
        <v>168</v>
      </c>
    </row>
    <row r="22" spans="1:14" ht="15">
      <c r="A22" s="13" t="s">
        <v>100</v>
      </c>
      <c r="B22" s="16" t="s">
        <v>101</v>
      </c>
      <c r="C22" s="15" t="s">
        <v>102</v>
      </c>
    </row>
    <row r="23" spans="1:14" ht="15">
      <c r="A23" s="7">
        <v>10100</v>
      </c>
      <c r="B23" s="11">
        <v>10102</v>
      </c>
      <c r="C23" s="42"/>
    </row>
    <row r="24" spans="1:14" ht="15">
      <c r="A24" s="7">
        <v>10100</v>
      </c>
      <c r="B24" s="11">
        <v>10104</v>
      </c>
      <c r="C24" s="42"/>
    </row>
    <row r="25" spans="1:14" ht="15">
      <c r="A25" s="7">
        <v>10108</v>
      </c>
      <c r="B25" s="11">
        <v>10102</v>
      </c>
      <c r="C25" s="42"/>
    </row>
    <row r="26" spans="1:14" ht="15">
      <c r="A26" s="7">
        <v>10100</v>
      </c>
      <c r="B26" s="11">
        <v>10106</v>
      </c>
      <c r="C26" s="42"/>
    </row>
    <row r="27" spans="1:14" ht="15">
      <c r="A27" s="7">
        <v>10108</v>
      </c>
      <c r="B27" s="11">
        <v>10110</v>
      </c>
      <c r="C27" s="42"/>
    </row>
    <row r="28" spans="1:14" ht="15">
      <c r="A28" s="7">
        <v>10102</v>
      </c>
      <c r="B28" s="11">
        <v>10104</v>
      </c>
      <c r="C28" s="42"/>
    </row>
    <row r="29" spans="1:14" ht="15">
      <c r="A29" s="7">
        <v>10106</v>
      </c>
      <c r="B29" s="11">
        <v>10108</v>
      </c>
      <c r="C29" s="42"/>
    </row>
    <row r="30" spans="1:14" ht="15">
      <c r="A30" s="7">
        <v>10102</v>
      </c>
      <c r="B30" s="11">
        <v>10106</v>
      </c>
      <c r="C30" s="42"/>
    </row>
    <row r="31" spans="1:14" ht="15">
      <c r="A31" s="7">
        <v>10110</v>
      </c>
      <c r="B31" s="11">
        <v>10114</v>
      </c>
      <c r="C31" s="42"/>
    </row>
    <row r="32" spans="1:14" ht="15">
      <c r="A32" s="7">
        <v>10104</v>
      </c>
      <c r="B32" s="11">
        <v>10106</v>
      </c>
      <c r="C32" s="42"/>
    </row>
    <row r="33" spans="1:3" ht="15">
      <c r="A33" s="7">
        <v>10110</v>
      </c>
      <c r="B33" s="11">
        <v>10112</v>
      </c>
      <c r="C33" s="42"/>
    </row>
    <row r="34" spans="1:3" ht="15">
      <c r="A34" s="7">
        <v>10100</v>
      </c>
      <c r="B34" s="11">
        <v>10114</v>
      </c>
      <c r="C34" s="42"/>
    </row>
    <row r="35" spans="1:3" ht="15">
      <c r="A35" s="8">
        <v>10112</v>
      </c>
      <c r="B35" s="12">
        <v>10116</v>
      </c>
      <c r="C3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SIVARAM PC</cp:lastModifiedBy>
  <dcterms:created xsi:type="dcterms:W3CDTF">2015-02-10T17:33:11Z</dcterms:created>
  <dcterms:modified xsi:type="dcterms:W3CDTF">2023-12-10T17:50:49Z</dcterms:modified>
</cp:coreProperties>
</file>